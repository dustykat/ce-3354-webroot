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 codeName="{00000000-0000-0000-0000-000000000000}"/>
  <workbookPr showInkAnnotation="0" codeName="ThisWorkbook" autoCompressPictures="0"/>
  <bookViews>
    <workbookView xWindow="260" yWindow="0" windowWidth="12620" windowHeight="11460" tabRatio="500" firstSheet="1" activeTab="1"/>
  </bookViews>
  <sheets>
    <sheet name="ManningUS" sheetId="1" state="hidden" r:id="rId1"/>
    <sheet name="QManning" sheetId="4" r:id="rId2"/>
    <sheet name="ManningNTable" sheetId="3" r:id="rId3"/>
  </sheets>
  <externalReferences>
    <externalReference r:id="rId4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4" l="1"/>
  <c r="B20" i="4"/>
  <c r="D3" i="3"/>
  <c r="B11" i="1"/>
  <c r="B17" i="1"/>
</calcChain>
</file>

<file path=xl/sharedStrings.xml><?xml version="1.0" encoding="utf-8"?>
<sst xmlns="http://schemas.openxmlformats.org/spreadsheetml/2006/main" count="102" uniqueCount="59">
  <si>
    <t xml:space="preserve">Manning's Equation Calculator </t>
  </si>
  <si>
    <t xml:space="preserve">Methods:  </t>
  </si>
  <si>
    <t>Uses VBA Function to compute discharge, given Manning's n, Flow Area, Hydraulic Radius, and Friction Slope</t>
  </si>
  <si>
    <t>Remarks:</t>
  </si>
  <si>
    <t>This variant uses the US Customary form of Manning's equation</t>
  </si>
  <si>
    <t>Manning's n</t>
  </si>
  <si>
    <t>Area</t>
  </si>
  <si>
    <t>dimensionless (ft/ft)</t>
  </si>
  <si>
    <t>square feet (ft^2)</t>
  </si>
  <si>
    <t>feet (ft)</t>
  </si>
  <si>
    <t>cubic feet per second (ft^3/s)</t>
  </si>
  <si>
    <t>Hyd. Radius</t>
  </si>
  <si>
    <t>Slope</t>
  </si>
  <si>
    <t>Discharge</t>
  </si>
  <si>
    <t>Function name is QMANNUS(N,AREA,HYD.RADIUS,SLOPE)</t>
  </si>
  <si>
    <t>Description</t>
  </si>
  <si>
    <r>
      <t xml:space="preserve">Manning's </t>
    </r>
    <r>
      <rPr>
        <i/>
        <sz val="12"/>
        <color theme="1"/>
        <rFont val="Calibri"/>
        <scheme val="minor"/>
      </rPr>
      <t>n</t>
    </r>
  </si>
  <si>
    <t xml:space="preserve">Manning's n Values </t>
  </si>
  <si>
    <t>Smooth, straight surfaces; enameled or glazed coating; glass; lucite; brass</t>
  </si>
  <si>
    <t>Planed and fitted lumber boards; smooth metal; cement plaster; smooth tar or paint coating</t>
  </si>
  <si>
    <t>Smooth mortar (1/3 sand) without projections, in straight alignment</t>
  </si>
  <si>
    <t>Fitted, but unplaned boards; steel trowled concrete, in straight alignment</t>
  </si>
  <si>
    <t>Straight, clean, smooth surfaces without projections; good boards; carefully built brich wall; wood trowled concrete; smooth, dressed ashlar (masonry)</t>
  </si>
  <si>
    <t>Good wood, metal, or concrete surfaces with some curvature, very small projections, slight moss or algae growth or gravel deposition; shot concrete surfaced with trowled mortar</t>
  </si>
  <si>
    <t>Rough brick; medium quality cut stone surface; wood with algae or moss growth; rough concrete; riveted steel</t>
  </si>
  <si>
    <t>Mudflows; very dense flood plain forests; watershed slopes</t>
  </si>
  <si>
    <t>Rough mountain creeks; swampy, heavily vegetated rivers with logs and driftwood on the bottom; flood plain forests with pools</t>
  </si>
  <si>
    <t>Mountain creeks with waterfalls and steep ravines; irregular flood plains; weedy and sluggish natural channels obstructed with trees</t>
  </si>
  <si>
    <t>Mountain ravines; fully ingrown small artifical channel; flat flood plains crossed by deep ditches</t>
  </si>
  <si>
    <t>Artifical earth channels partially obstructed with debris, roots, and weeds; irregularly meandering rivers with partially grown-in or rocky bed; developed flood plains with high grass and bushes</t>
  </si>
  <si>
    <t>Small deterioriated artifical channels, half choked with aquatic growth; winding river with clean bed, but with pools and shallows</t>
  </si>
  <si>
    <t>Permanent alluvial rivers with moderate changes in cross section, average stage; slightly curving intermittent streams in very good condition</t>
  </si>
  <si>
    <t>Well-maintained large floodway; unkept artifical channelswith scours, slides, considerable aquatic growth; natural stream with good alignment and fairly constant cross section</t>
  </si>
  <si>
    <t>Ditches; below-average human-made channels with scattered cobbles in bed</t>
  </si>
  <si>
    <t>Small, human-made earth channels in well-kept condition; straight natural streams with rather clean, uniform bottoms without pools and flow barriers, cavings, and scours of the banks</t>
  </si>
  <si>
    <t>Well-built earth channels covered with thick, uniform silt deposits; metal flumes with excessive curvature, large projections, accumulated debris</t>
  </si>
  <si>
    <t>Very smooth and straight earth channels, free from growth; stone rubble set in cement; shot, untroweled concrete; deteriorated brick wall; exceptionally well excavated and surfaced channel cut in natural rock</t>
  </si>
  <si>
    <t>Source</t>
  </si>
  <si>
    <t>adapted from Simon, A.L., and Korom, S.F. 1997. Hydraulics 4ed. Prentice Hall, Ohio 443p.</t>
  </si>
  <si>
    <t>Conduit Description</t>
  </si>
  <si>
    <t>Smooth, well-packed earth; rough stone walls; channels excavated in solid, soft rock; little curving channels in solid loess, gravel, or clay with silt deposits, free from growth and in average condition</t>
  </si>
  <si>
    <t>Deteriorating uneven metal flume with curvatures and debris; very large canals in good condition</t>
  </si>
  <si>
    <t>Irregularly curving permanent alluvial stream with smooth bed; straight natural channels with uneven bottom, sand bars, dunes, few rocks and underwater ditches</t>
  </si>
  <si>
    <t>Lower section of mountainous streams with well-developed channel with sediment deposits; intermittent streams in good condition; deteriorated artifical channels, with moss and reeds, rocks, and slides</t>
  </si>
  <si>
    <t>OUTPUT</t>
  </si>
  <si>
    <t>INPUT</t>
  </si>
  <si>
    <t>ITEM</t>
  </si>
  <si>
    <t>VALUE</t>
  </si>
  <si>
    <t>UNITS</t>
  </si>
  <si>
    <t>INPUTS</t>
  </si>
  <si>
    <t>OUTPUTS</t>
  </si>
  <si>
    <t xml:space="preserve">     Uses VBA Function to compute discharge, given </t>
  </si>
  <si>
    <t xml:space="preserve">     Manning's n, Flow Area, Hyd. Radius, and Friction Slope</t>
  </si>
  <si>
    <t xml:space="preserve">     Uses Pull-Down-List to select Manning's N from tabulated values</t>
  </si>
  <si>
    <t xml:space="preserve">     Function name is QMANNUS(N,AREA,HYD.RADIUS,SLOPE)</t>
  </si>
  <si>
    <t xml:space="preserve">     This variant uses the US Customary form of Manning's equation</t>
  </si>
  <si>
    <t xml:space="preserve">     Coding: TGC 2014-11-21</t>
  </si>
  <si>
    <t>Pull-Down-Menu</t>
  </si>
  <si>
    <t>none (empirical s/ft)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</si>
</sst>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u/>
      <sz val="12"/>
      <color theme="1"/>
      <name val="Calibri"/>
      <scheme val="minor"/>
    </font>
    <font>
      <u/>
      <sz val="12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49" fontId="0" fillId="0" borderId="0" xfId="0" quotePrefix="1" applyNumberFormat="1" applyAlignment="1">
      <alignment wrapText="1"/>
    </xf>
    <xf numFmtId="49" fontId="0" fillId="0" borderId="0" xfId="0" applyNumberFormat="1" applyAlignment="1">
      <alignment wrapText="1"/>
    </xf>
    <xf numFmtId="2" fontId="0" fillId="0" borderId="0" xfId="0" applyNumberFormat="1"/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4" borderId="0" xfId="0" applyFont="1" applyFill="1"/>
    <xf numFmtId="0" fontId="0" fillId="0" borderId="0" xfId="0" applyFont="1"/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2" xfId="0" applyFont="1" applyFill="1" applyBorder="1" applyAlignment="1">
      <alignment horizontal="left"/>
    </xf>
    <xf numFmtId="0" fontId="0" fillId="2" borderId="1" xfId="0" applyFont="1" applyFill="1" applyBorder="1" applyAlignment="1" applyProtection="1">
      <alignment horizontal="center"/>
      <protection locked="0"/>
    </xf>
    <xf numFmtId="0" fontId="0" fillId="2" borderId="3" xfId="0" applyFont="1" applyFill="1" applyBorder="1"/>
    <xf numFmtId="0" fontId="0" fillId="2" borderId="4" xfId="0" applyFont="1" applyFill="1" applyBorder="1" applyAlignment="1">
      <alignment horizontal="left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/>
    <xf numFmtId="0" fontId="4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3" borderId="7" xfId="0" applyFont="1" applyFill="1" applyBorder="1" applyAlignment="1">
      <alignment horizontal="left"/>
    </xf>
    <xf numFmtId="165" fontId="0" fillId="3" borderId="9" xfId="0" applyNumberFormat="1" applyFont="1" applyFill="1" applyBorder="1" applyAlignment="1" applyProtection="1">
      <alignment horizontal="center"/>
    </xf>
    <xf numFmtId="0" fontId="0" fillId="3" borderId="8" xfId="0" applyFont="1" applyFill="1" applyBorder="1"/>
    <xf numFmtId="0" fontId="0" fillId="2" borderId="10" xfId="0" applyFont="1" applyFill="1" applyBorder="1" applyAlignment="1">
      <alignment vertical="top"/>
    </xf>
    <xf numFmtId="0" fontId="0" fillId="2" borderId="11" xfId="0" applyFont="1" applyFill="1" applyBorder="1" applyAlignment="1" applyProtection="1">
      <alignment horizontal="left" vertical="top" wrapText="1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12" xfId="0" applyFont="1" applyFill="1" applyBorder="1" applyAlignment="1">
      <alignment horizontal="left" vertical="top"/>
    </xf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nningsUS%20cop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nningUS"/>
      <sheetName val="ManningNTable"/>
      <sheetName val="Sheet1"/>
    </sheetNames>
    <sheetDataSet>
      <sheetData sheetId="0">
        <row r="9">
          <cell r="B9" t="str">
            <v>Smooth, well-packed earth; rough stone walls; channels excavated in solid, soft rock; little curving channels in solid loess, gravel, or clay with silt deposits, free from growth and in average condition</v>
          </cell>
        </row>
      </sheetData>
      <sheetData sheetId="1">
        <row r="3">
          <cell r="A3" t="str">
            <v>Smooth, straight surfaces; enameled or glazed coating; glass; lucite; brass</v>
          </cell>
          <cell r="B3">
            <v>8.9999999999999993E-3</v>
          </cell>
        </row>
        <row r="4">
          <cell r="A4" t="str">
            <v>Planed and fitted lumber boards; smooth metal; cement plaster; smooth tar or paint coating</v>
          </cell>
          <cell r="B4">
            <v>0.01</v>
          </cell>
        </row>
        <row r="5">
          <cell r="A5" t="str">
            <v>Smooth mortar (1/3 sand) without projections, in straight alignment</v>
          </cell>
          <cell r="B5">
            <v>1.0999999999999999E-2</v>
          </cell>
        </row>
        <row r="6">
          <cell r="A6" t="str">
            <v>Fitted, but unplaned boards; steel trowled concrete, in straight alignment</v>
          </cell>
          <cell r="B6">
            <v>1.2E-2</v>
          </cell>
        </row>
        <row r="7">
          <cell r="A7" t="str">
            <v>Straight, clean, smooth surfaces without projections; good boards; carefully built brich wall; wood trowled concrete; smooth, dressed ashlar (masonry)</v>
          </cell>
          <cell r="B7">
            <v>1.2999999999999999E-2</v>
          </cell>
        </row>
        <row r="8">
          <cell r="A8" t="str">
            <v>Good wood, metal, or concrete surfaces with some curvature, very small projections, slight moss or algae growth or gravel deposition; shot concrete surfaced with trowled mortar</v>
          </cell>
          <cell r="B8">
            <v>1.4E-2</v>
          </cell>
        </row>
        <row r="9">
          <cell r="A9" t="str">
            <v>Rough brick; medium quality cut stone surface; wood with algae or moss growth; rough concrete; riveted steel</v>
          </cell>
          <cell r="B9">
            <v>1.4999999999999999E-2</v>
          </cell>
        </row>
        <row r="10">
          <cell r="A10" t="str">
            <v>Very smooth and straight earth channels, free from growth; stone rubble set in cement; shot, untroweled concrete; deteriorated brick wall; exceptionally well excavated and surfaced channel cut in natural rock</v>
          </cell>
          <cell r="B10">
            <v>1.7000000000000001E-2</v>
          </cell>
        </row>
        <row r="11">
          <cell r="A11" t="str">
            <v>Well-built earth channels covered with thick, uniform silt deposits; metal flumes with excessive curvature, large projections, accumulated debris</v>
          </cell>
          <cell r="B11">
            <v>1.7999999999999999E-2</v>
          </cell>
        </row>
        <row r="12">
          <cell r="A12" t="str">
            <v>Smooth, well-packed earth; rough stone walls; channels excavated in solid, soft rock; little curving channels in solid loess, gravel, or clay with silt deposits, free from growth and in average condition</v>
          </cell>
          <cell r="B12">
            <v>0.02</v>
          </cell>
        </row>
        <row r="13">
          <cell r="A13" t="str">
            <v>Deteriorating uneven metal flume with curvatures and debris; very large canals in good condition</v>
          </cell>
          <cell r="B13">
            <v>0.02</v>
          </cell>
        </row>
        <row r="14">
          <cell r="A14" t="str">
            <v>Small, human-made earth channels in well-kept condition; straight natural streams with rather clean, uniform bottoms without pools and flow barriers, cavings, and scours of the banks</v>
          </cell>
          <cell r="B14">
            <v>2.5000000000000001E-2</v>
          </cell>
        </row>
        <row r="15">
          <cell r="A15" t="str">
            <v>Ditches; below-average human-made channels with scattered cobbles in bed</v>
          </cell>
          <cell r="B15">
            <v>2.8000000000000001E-2</v>
          </cell>
        </row>
        <row r="16">
          <cell r="A16" t="str">
            <v>Well-maintained large floodway; unkept artifical channelswith scours, slides, considerable aquatic growth; natural stream with good alignment and fairly constant cross section</v>
          </cell>
          <cell r="B16">
            <v>0.03</v>
          </cell>
        </row>
        <row r="17">
          <cell r="A17" t="str">
            <v>Permanent alluvial rivers with moderate changes in cross section, average stage; slightly curving intermittent streams in very good condition</v>
          </cell>
          <cell r="B17">
            <v>3.3000000000000002E-2</v>
          </cell>
        </row>
        <row r="18">
          <cell r="A18" t="str">
            <v>Small deterioriated artifical channels, half choked with aquatic growth; winding river with clean bed, but with pools and shallows</v>
          </cell>
          <cell r="B18">
            <v>3.5000000000000003E-2</v>
          </cell>
        </row>
        <row r="19">
          <cell r="A19" t="str">
            <v>Irregularly curving permanent alluvial stream with smooth bed; straight natural channels with uneven bottom, sand bars, dunes, few rocks and underwater ditches</v>
          </cell>
          <cell r="B19">
            <v>0.04</v>
          </cell>
        </row>
        <row r="20">
          <cell r="A20" t="str">
            <v>Lower section of mountainous streams with well-developed channel with sediment deposits; intermittent streams in good condition; deteriorated artifical channels, with moss and reeds, rocks, and slides</v>
          </cell>
          <cell r="B20">
            <v>0.04</v>
          </cell>
        </row>
        <row r="21">
          <cell r="A21" t="str">
            <v>Artifical earth channels partially obstructed with debris, roots, and weeds; irregularly meandering rivers with partially grown-in or rocky bed; developed flood plains with high grass and bushes</v>
          </cell>
          <cell r="B21">
            <v>6.7000000000000004E-2</v>
          </cell>
        </row>
        <row r="22">
          <cell r="A22" t="str">
            <v>Mountain ravines; fully ingrown small artifical channel; flat flood plains crossed by deep ditches</v>
          </cell>
          <cell r="B22">
            <v>0.08</v>
          </cell>
        </row>
        <row r="23">
          <cell r="A23" t="str">
            <v>Mountain creeks with waterfalls and steep ravines; irregular flood plains; weedy and sluggish natural channels obstructed with trees</v>
          </cell>
          <cell r="B23">
            <v>0.1</v>
          </cell>
        </row>
        <row r="24">
          <cell r="A24" t="str">
            <v>Rough mountain creeks; swampy, heavily vegetated rivers with logs and driftwood on the bottom; flood plain forests with pools</v>
          </cell>
          <cell r="B24">
            <v>0.13300000000000001</v>
          </cell>
        </row>
        <row r="25">
          <cell r="A25" t="str">
            <v>Mudflows; very dense flood plain forests; watershed slopes</v>
          </cell>
          <cell r="B25">
            <v>0.22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17"/>
  <sheetViews>
    <sheetView workbookViewId="0">
      <selection activeCell="B10" sqref="B10"/>
    </sheetView>
  </sheetViews>
  <sheetFormatPr baseColWidth="10" defaultRowHeight="15" x14ac:dyDescent="0"/>
  <cols>
    <col min="1" max="1" width="17" customWidth="1"/>
    <col min="2" max="2" width="86.83203125" customWidth="1"/>
    <col min="3" max="3" width="10.33203125" customWidth="1"/>
    <col min="4" max="5" width="9.5" customWidth="1"/>
  </cols>
  <sheetData>
    <row r="1" spans="1:3">
      <c r="A1" t="s">
        <v>0</v>
      </c>
    </row>
    <row r="2" spans="1:3">
      <c r="A2" t="s">
        <v>1</v>
      </c>
      <c r="B2" t="s">
        <v>2</v>
      </c>
    </row>
    <row r="3" spans="1:3">
      <c r="B3" t="s">
        <v>14</v>
      </c>
    </row>
    <row r="4" spans="1:3">
      <c r="A4" t="s">
        <v>3</v>
      </c>
      <c r="B4" t="s">
        <v>4</v>
      </c>
    </row>
    <row r="8" spans="1:3">
      <c r="A8" s="5" t="s">
        <v>45</v>
      </c>
      <c r="B8" s="5"/>
      <c r="C8" s="5"/>
    </row>
    <row r="9" spans="1:3">
      <c r="A9" t="s">
        <v>46</v>
      </c>
      <c r="B9" s="2" t="s">
        <v>47</v>
      </c>
      <c r="C9" t="s">
        <v>48</v>
      </c>
    </row>
    <row r="10" spans="1:3" ht="30">
      <c r="A10" s="8" t="s">
        <v>39</v>
      </c>
      <c r="B10" s="14" t="s">
        <v>40</v>
      </c>
      <c r="C10" s="7"/>
    </row>
    <row r="11" spans="1:3" ht="22" customHeight="1">
      <c r="A11" s="6" t="s">
        <v>5</v>
      </c>
      <c r="B11" s="12">
        <f>INDEX(ManningNTable!B3:B25,MATCH(ManningUS!B10,ManningNTable!A3:A25,0))</f>
        <v>0.02</v>
      </c>
    </row>
    <row r="12" spans="1:3" ht="22" customHeight="1">
      <c r="A12" s="6" t="s">
        <v>6</v>
      </c>
      <c r="B12" s="12">
        <v>98.7</v>
      </c>
      <c r="C12" t="s">
        <v>8</v>
      </c>
    </row>
    <row r="13" spans="1:3" ht="22" customHeight="1">
      <c r="A13" s="6" t="s">
        <v>11</v>
      </c>
      <c r="B13" s="12">
        <v>2.41</v>
      </c>
      <c r="C13" t="s">
        <v>9</v>
      </c>
    </row>
    <row r="14" spans="1:3" ht="22" customHeight="1">
      <c r="A14" s="6" t="s">
        <v>12</v>
      </c>
      <c r="B14" s="12">
        <v>1.4300000000000001E-3</v>
      </c>
      <c r="C14" t="s">
        <v>7</v>
      </c>
    </row>
    <row r="16" spans="1:3">
      <c r="A16" s="5" t="s">
        <v>44</v>
      </c>
      <c r="B16" s="5"/>
      <c r="C16" s="5"/>
    </row>
    <row r="17" spans="1:3" ht="25" customHeight="1">
      <c r="A17" s="6" t="s">
        <v>13</v>
      </c>
      <c r="B17" s="13">
        <f>QMANNUS(B11,B12,B13,B14)</f>
        <v>499.82672388953569</v>
      </c>
      <c r="C17" t="s">
        <v>10</v>
      </c>
    </row>
  </sheetData>
  <mergeCells count="2">
    <mergeCell ref="A16:C16"/>
    <mergeCell ref="A8:C8"/>
  </mergeCells>
  <pageMargins left="0.75" right="0.75" top="1" bottom="1" header="0.5" footer="0.5"/>
  <pageSetup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ManningNTable!$A$3:$A$25</xm:f>
          </x14:formula1>
          <xm:sqref>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1"/>
  <sheetViews>
    <sheetView showGridLines="0" tabSelected="1" workbookViewId="0"/>
  </sheetViews>
  <sheetFormatPr baseColWidth="10" defaultColWidth="46" defaultRowHeight="15" x14ac:dyDescent="0"/>
  <cols>
    <col min="1" max="1" width="18.1640625" style="16" customWidth="1"/>
    <col min="2" max="2" width="46" style="16"/>
    <col min="3" max="3" width="33.1640625" style="16" customWidth="1"/>
    <col min="4" max="16384" width="46" style="16"/>
  </cols>
  <sheetData>
    <row r="1" spans="1:3">
      <c r="A1" s="15" t="s">
        <v>0</v>
      </c>
      <c r="B1" s="15"/>
      <c r="C1" s="15"/>
    </row>
    <row r="2" spans="1:3">
      <c r="A2" s="15" t="s">
        <v>1</v>
      </c>
      <c r="B2" s="15"/>
      <c r="C2" s="15"/>
    </row>
    <row r="3" spans="1:3">
      <c r="A3" s="15" t="s">
        <v>51</v>
      </c>
      <c r="B3" s="15"/>
      <c r="C3" s="15"/>
    </row>
    <row r="4" spans="1:3">
      <c r="A4" s="15" t="s">
        <v>52</v>
      </c>
      <c r="B4" s="15"/>
      <c r="C4" s="15"/>
    </row>
    <row r="5" spans="1:3">
      <c r="A5" s="15" t="s">
        <v>53</v>
      </c>
      <c r="B5" s="15"/>
      <c r="C5" s="15"/>
    </row>
    <row r="6" spans="1:3">
      <c r="A6" s="15" t="s">
        <v>54</v>
      </c>
      <c r="B6" s="15"/>
      <c r="C6" s="15"/>
    </row>
    <row r="7" spans="1:3">
      <c r="A7" s="15" t="s">
        <v>3</v>
      </c>
      <c r="B7" s="15"/>
      <c r="C7" s="15"/>
    </row>
    <row r="8" spans="1:3">
      <c r="A8" s="15" t="s">
        <v>55</v>
      </c>
      <c r="B8" s="15"/>
      <c r="C8" s="15"/>
    </row>
    <row r="9" spans="1:3">
      <c r="A9" s="15" t="s">
        <v>56</v>
      </c>
      <c r="B9" s="15"/>
      <c r="C9" s="15"/>
    </row>
    <row r="10" spans="1:3">
      <c r="A10" s="17" t="s">
        <v>49</v>
      </c>
      <c r="B10" s="17"/>
      <c r="C10" s="17"/>
    </row>
    <row r="11" spans="1:3" ht="16" thickBot="1">
      <c r="A11" s="18" t="s">
        <v>46</v>
      </c>
      <c r="B11" s="18" t="s">
        <v>47</v>
      </c>
      <c r="C11" s="18" t="s">
        <v>48</v>
      </c>
    </row>
    <row r="12" spans="1:3" ht="31" thickTop="1">
      <c r="A12" s="30" t="s">
        <v>39</v>
      </c>
      <c r="B12" s="31" t="s">
        <v>18</v>
      </c>
      <c r="C12" s="33" t="s">
        <v>57</v>
      </c>
    </row>
    <row r="13" spans="1:3">
      <c r="A13" s="19" t="s">
        <v>5</v>
      </c>
      <c r="B13" s="32">
        <f>INDEX([1]ManningNTable!B3:B25,MATCH([1]ManningUS!B9,[1]ManningNTable!A3:A25,0))</f>
        <v>0.02</v>
      </c>
      <c r="C13" s="21" t="s">
        <v>58</v>
      </c>
    </row>
    <row r="14" spans="1:3">
      <c r="A14" s="19" t="s">
        <v>6</v>
      </c>
      <c r="B14" s="20">
        <v>46</v>
      </c>
      <c r="C14" s="21" t="s">
        <v>8</v>
      </c>
    </row>
    <row r="15" spans="1:3">
      <c r="A15" s="19" t="s">
        <v>11</v>
      </c>
      <c r="B15" s="20">
        <v>2.41</v>
      </c>
      <c r="C15" s="21" t="s">
        <v>9</v>
      </c>
    </row>
    <row r="16" spans="1:3" ht="16" thickBot="1">
      <c r="A16" s="22" t="s">
        <v>12</v>
      </c>
      <c r="B16" s="23">
        <v>1.4300000000000001E-3</v>
      </c>
      <c r="C16" s="24" t="s">
        <v>7</v>
      </c>
    </row>
    <row r="17" spans="1:3" ht="16" thickTop="1">
      <c r="A17" s="15"/>
      <c r="B17" s="15"/>
      <c r="C17" s="15"/>
    </row>
    <row r="18" spans="1:3">
      <c r="A18" s="25" t="s">
        <v>50</v>
      </c>
      <c r="B18" s="25"/>
      <c r="C18" s="25"/>
    </row>
    <row r="19" spans="1:3" ht="16" thickBot="1">
      <c r="A19" s="26" t="s">
        <v>46</v>
      </c>
      <c r="B19" s="26" t="s">
        <v>47</v>
      </c>
      <c r="C19" s="26" t="s">
        <v>48</v>
      </c>
    </row>
    <row r="20" spans="1:3" ht="17" thickTop="1" thickBot="1">
      <c r="A20" s="27" t="s">
        <v>13</v>
      </c>
      <c r="B20" s="28">
        <f>QMANNUS(B13,B14,B15,B16)</f>
        <v>232.94862511569036</v>
      </c>
      <c r="C20" s="29" t="s">
        <v>10</v>
      </c>
    </row>
    <row r="21" spans="1:3" ht="16" thickTop="1">
      <c r="A21" s="15"/>
      <c r="B21" s="15"/>
      <c r="C21" s="15"/>
    </row>
  </sheetData>
  <sheetProtection password="8DBD" sheet="1" objects="1" scenarios="1"/>
  <mergeCells count="2">
    <mergeCell ref="A10:C10"/>
    <mergeCell ref="A18:C18"/>
  </mergeCells>
  <pageMargins left="0.75" right="0.75" top="1" bottom="1" header="0.5" footer="0.5"/>
  <pageSetup orientation="portrait" horizontalDpi="4294967292" verticalDpi="4294967292"/>
  <ignoredErrors>
    <ignoredError sqref="B13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ManningNTable!$A$3:$A$25</xm:f>
          </x14:formula1>
          <xm:sqref>B12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I50"/>
  <sheetViews>
    <sheetView topLeftCell="A20" workbookViewId="0">
      <selection activeCell="A23" sqref="A23"/>
    </sheetView>
  </sheetViews>
  <sheetFormatPr baseColWidth="10" defaultRowHeight="15" x14ac:dyDescent="0"/>
  <cols>
    <col min="1" max="1" width="134" customWidth="1"/>
    <col min="2" max="2" width="10.83203125" style="3"/>
  </cols>
  <sheetData>
    <row r="1" spans="1:4">
      <c r="A1" s="1" t="s">
        <v>17</v>
      </c>
    </row>
    <row r="2" spans="1:4">
      <c r="A2" s="2" t="s">
        <v>15</v>
      </c>
      <c r="B2" s="4" t="s">
        <v>16</v>
      </c>
      <c r="C2" t="s">
        <v>37</v>
      </c>
    </row>
    <row r="3" spans="1:4">
      <c r="A3" s="10" t="s">
        <v>18</v>
      </c>
      <c r="B3" s="3">
        <v>8.9999999999999993E-3</v>
      </c>
      <c r="C3" t="s">
        <v>38</v>
      </c>
      <c r="D3" s="11" t="str">
        <f>A3</f>
        <v>Smooth, straight surfaces; enameled or glazed coating; glass; lucite; brass</v>
      </c>
    </row>
    <row r="4" spans="1:4">
      <c r="A4" s="10" t="s">
        <v>19</v>
      </c>
      <c r="B4" s="3">
        <v>0.01</v>
      </c>
      <c r="C4" t="s">
        <v>38</v>
      </c>
    </row>
    <row r="5" spans="1:4">
      <c r="A5" s="10" t="s">
        <v>20</v>
      </c>
      <c r="B5" s="3">
        <v>1.0999999999999999E-2</v>
      </c>
      <c r="C5" t="s">
        <v>38</v>
      </c>
    </row>
    <row r="6" spans="1:4">
      <c r="A6" s="10" t="s">
        <v>21</v>
      </c>
      <c r="B6" s="3">
        <v>1.2E-2</v>
      </c>
      <c r="C6" t="s">
        <v>38</v>
      </c>
    </row>
    <row r="7" spans="1:4">
      <c r="A7" s="10" t="s">
        <v>22</v>
      </c>
      <c r="B7" s="3">
        <v>1.2999999999999999E-2</v>
      </c>
      <c r="C7" t="s">
        <v>38</v>
      </c>
    </row>
    <row r="8" spans="1:4" ht="30">
      <c r="A8" s="10" t="s">
        <v>23</v>
      </c>
      <c r="B8" s="3">
        <v>1.4E-2</v>
      </c>
      <c r="C8" t="s">
        <v>38</v>
      </c>
    </row>
    <row r="9" spans="1:4">
      <c r="A9" s="10" t="s">
        <v>24</v>
      </c>
      <c r="B9" s="3">
        <v>1.4999999999999999E-2</v>
      </c>
      <c r="C9" t="s">
        <v>38</v>
      </c>
    </row>
    <row r="10" spans="1:4" ht="30">
      <c r="A10" s="10" t="s">
        <v>36</v>
      </c>
      <c r="B10" s="3">
        <v>1.7000000000000001E-2</v>
      </c>
      <c r="C10" t="s">
        <v>38</v>
      </c>
    </row>
    <row r="11" spans="1:4">
      <c r="A11" s="10" t="s">
        <v>35</v>
      </c>
      <c r="B11" s="3">
        <v>1.7999999999999999E-2</v>
      </c>
      <c r="C11" t="s">
        <v>38</v>
      </c>
    </row>
    <row r="12" spans="1:4" ht="30">
      <c r="A12" s="10" t="s">
        <v>40</v>
      </c>
      <c r="B12" s="3">
        <v>0.02</v>
      </c>
      <c r="C12" t="s">
        <v>38</v>
      </c>
    </row>
    <row r="13" spans="1:4">
      <c r="A13" s="10" t="s">
        <v>41</v>
      </c>
      <c r="B13" s="3">
        <v>0.02</v>
      </c>
      <c r="C13" t="s">
        <v>38</v>
      </c>
    </row>
    <row r="14" spans="1:4" ht="30">
      <c r="A14" s="10" t="s">
        <v>34</v>
      </c>
      <c r="B14" s="3">
        <v>2.5000000000000001E-2</v>
      </c>
      <c r="C14" t="s">
        <v>38</v>
      </c>
    </row>
    <row r="15" spans="1:4">
      <c r="A15" s="10" t="s">
        <v>33</v>
      </c>
      <c r="B15" s="3">
        <v>2.8000000000000001E-2</v>
      </c>
      <c r="C15" t="s">
        <v>38</v>
      </c>
    </row>
    <row r="16" spans="1:4" ht="30">
      <c r="A16" s="10" t="s">
        <v>32</v>
      </c>
      <c r="B16" s="3">
        <v>0.03</v>
      </c>
      <c r="C16" t="s">
        <v>38</v>
      </c>
    </row>
    <row r="17" spans="1:9">
      <c r="A17" s="10" t="s">
        <v>31</v>
      </c>
      <c r="B17" s="3">
        <v>3.3000000000000002E-2</v>
      </c>
      <c r="C17" t="s">
        <v>38</v>
      </c>
    </row>
    <row r="18" spans="1:9">
      <c r="A18" s="10" t="s">
        <v>30</v>
      </c>
      <c r="B18" s="3">
        <v>3.5000000000000003E-2</v>
      </c>
      <c r="C18" t="s">
        <v>38</v>
      </c>
    </row>
    <row r="19" spans="1:9">
      <c r="A19" s="9" t="s">
        <v>42</v>
      </c>
      <c r="B19" s="3">
        <v>0.04</v>
      </c>
      <c r="C19" t="s">
        <v>38</v>
      </c>
    </row>
    <row r="20" spans="1:9" ht="30">
      <c r="A20" s="9" t="s">
        <v>43</v>
      </c>
      <c r="B20" s="3">
        <v>0.04</v>
      </c>
      <c r="C20" t="s">
        <v>38</v>
      </c>
    </row>
    <row r="21" spans="1:9" ht="30">
      <c r="A21" s="10" t="s">
        <v>29</v>
      </c>
      <c r="B21" s="3">
        <v>6.7000000000000004E-2</v>
      </c>
      <c r="C21" t="s">
        <v>38</v>
      </c>
    </row>
    <row r="22" spans="1:9">
      <c r="A22" s="10" t="s">
        <v>28</v>
      </c>
      <c r="B22" s="3">
        <v>0.08</v>
      </c>
      <c r="C22" t="s">
        <v>38</v>
      </c>
    </row>
    <row r="23" spans="1:9">
      <c r="A23" s="10" t="s">
        <v>27</v>
      </c>
      <c r="B23" s="3">
        <v>0.1</v>
      </c>
      <c r="C23" t="s">
        <v>38</v>
      </c>
    </row>
    <row r="24" spans="1:9">
      <c r="A24" s="10" t="s">
        <v>26</v>
      </c>
      <c r="B24" s="3">
        <v>0.13300000000000001</v>
      </c>
      <c r="C24" t="s">
        <v>38</v>
      </c>
    </row>
    <row r="25" spans="1:9">
      <c r="A25" s="10" t="s">
        <v>25</v>
      </c>
      <c r="B25" s="3">
        <v>0.22</v>
      </c>
      <c r="C25" t="s">
        <v>38</v>
      </c>
    </row>
    <row r="26" spans="1:9">
      <c r="A26" s="1"/>
    </row>
    <row r="27" spans="1:9">
      <c r="B27"/>
    </row>
    <row r="28" spans="1:9">
      <c r="B28"/>
    </row>
    <row r="29" spans="1:9" s="3" customFormat="1">
      <c r="A29"/>
      <c r="B29"/>
      <c r="C29"/>
      <c r="D29"/>
      <c r="E29"/>
      <c r="F29"/>
      <c r="G29"/>
      <c r="H29"/>
      <c r="I29"/>
    </row>
    <row r="30" spans="1:9" s="3" customFormat="1">
      <c r="A30"/>
      <c r="B30"/>
      <c r="C30"/>
      <c r="D30"/>
      <c r="E30"/>
      <c r="F30"/>
      <c r="G30"/>
      <c r="H30"/>
      <c r="I30"/>
    </row>
    <row r="31" spans="1:9" s="3" customFormat="1">
      <c r="A31"/>
      <c r="B31"/>
      <c r="C31"/>
      <c r="D31"/>
      <c r="E31"/>
      <c r="F31"/>
      <c r="G31"/>
      <c r="H31"/>
      <c r="I31"/>
    </row>
    <row r="32" spans="1:9" s="3" customFormat="1">
      <c r="A32"/>
      <c r="B32"/>
      <c r="C32"/>
      <c r="D32"/>
      <c r="E32"/>
      <c r="F32"/>
      <c r="G32"/>
      <c r="H32"/>
      <c r="I32"/>
    </row>
    <row r="33" spans="1:9" s="3" customFormat="1">
      <c r="A33"/>
      <c r="B33"/>
      <c r="C33"/>
      <c r="D33"/>
      <c r="E33"/>
      <c r="F33"/>
      <c r="G33"/>
      <c r="H33"/>
      <c r="I33"/>
    </row>
    <row r="34" spans="1:9">
      <c r="B34"/>
    </row>
    <row r="35" spans="1:9">
      <c r="B35"/>
    </row>
    <row r="36" spans="1:9">
      <c r="B36"/>
    </row>
    <row r="37" spans="1:9">
      <c r="B37"/>
    </row>
    <row r="38" spans="1:9">
      <c r="B38"/>
    </row>
    <row r="39" spans="1:9">
      <c r="B39"/>
    </row>
    <row r="40" spans="1:9">
      <c r="B40"/>
    </row>
    <row r="41" spans="1:9">
      <c r="B41"/>
    </row>
    <row r="42" spans="1:9">
      <c r="B42"/>
    </row>
    <row r="43" spans="1:9">
      <c r="B43"/>
    </row>
    <row r="44" spans="1:9">
      <c r="B44"/>
    </row>
    <row r="45" spans="1:9">
      <c r="B45"/>
    </row>
    <row r="46" spans="1:9">
      <c r="B46"/>
    </row>
    <row r="47" spans="1:9">
      <c r="B47"/>
    </row>
    <row r="48" spans="1:9">
      <c r="B48"/>
    </row>
    <row r="49" spans="2:2">
      <c r="B49"/>
    </row>
    <row r="50" spans="2:2">
      <c r="B50"/>
    </row>
  </sheetData>
  <sheetProtection password="FDF8" sheet="1" objects="1" scenario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ManningUS</vt:lpstr>
      <vt:lpstr>QManning</vt:lpstr>
      <vt:lpstr>ManningNTable</vt:lpstr>
    </vt:vector>
  </TitlesOfParts>
  <Company>texas tech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 cleveland</dc:creator>
  <cp:lastModifiedBy>theodore  cleveland</cp:lastModifiedBy>
  <dcterms:created xsi:type="dcterms:W3CDTF">2014-05-20T21:29:02Z</dcterms:created>
  <dcterms:modified xsi:type="dcterms:W3CDTF">2016-02-12T17:06:45Z</dcterms:modified>
</cp:coreProperties>
</file>